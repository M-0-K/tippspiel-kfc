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fgaben" sheetId="1" state="visible" r:id="rId1"/>
    <sheet name="Übersicht" sheetId="2" state="visible" r:id="rId2"/>
  </sheets>
  <definedNames>
    <definedName name="_xlnm._FilterDatabase" localSheetId="0" hidden="1">'Aufgaben'!$A$4:$I$54</definedName>
    <definedName name="_xlnm.Print_Titles" localSheetId="0">'Aufgaben'!$4:$4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9" fontId="6" fillId="0" borderId="2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ont>
        <strike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11" customWidth="1" min="3" max="3"/>
    <col width="48" customWidth="1" min="4" max="4"/>
    <col width="20" customWidth="1" min="5" max="5"/>
    <col width="20" customWidth="1" min="6" max="6"/>
    <col width="13" customWidth="1" min="7" max="7"/>
    <col width="13" customWidth="1" min="8" max="8"/>
    <col width="36" customWidth="1" min="9" max="9"/>
  </cols>
  <sheetData>
    <row r="1">
      <c r="A1" s="1" t="inlineStr">
        <is>
          <t>KFC Event – Aufgaben &amp; Verantwortliche (Treffen 02.10.2026)</t>
        </is>
      </c>
    </row>
    <row r="2">
      <c r="A2" s="2" t="inlineStr">
        <is>
          <t>Gelbe Felder ausfüllen: Organisiert von, Verantwortlich, Status (Auswahlliste), Bis wann, Bemerkung. Freie Zeilen je Bereich zum Ergänzen.</t>
        </is>
      </c>
    </row>
    <row r="4" ht="22" customHeight="1">
      <c r="A4" s="3" t="inlineStr">
        <is>
          <t>Bereich</t>
        </is>
      </c>
      <c r="B4" s="3" t="inlineStr">
        <is>
          <t>Aufgabe / Material</t>
        </is>
      </c>
      <c r="C4" s="3" t="inlineStr">
        <is>
          <t>Menge</t>
        </is>
      </c>
      <c r="D4" s="3" t="inlineStr">
        <is>
          <t>Details</t>
        </is>
      </c>
      <c r="E4" s="3" t="inlineStr">
        <is>
          <t>Organisiert von</t>
        </is>
      </c>
      <c r="F4" s="3" t="inlineStr">
        <is>
          <t>Verantwortlich</t>
        </is>
      </c>
      <c r="G4" s="3" t="inlineStr">
        <is>
          <t>Status</t>
        </is>
      </c>
      <c r="H4" s="3" t="inlineStr">
        <is>
          <t>Bis wann</t>
        </is>
      </c>
      <c r="I4" s="3" t="inlineStr">
        <is>
          <t>Bemerkung</t>
        </is>
      </c>
    </row>
    <row r="5">
      <c r="A5" s="4" t="inlineStr">
        <is>
          <t>Orga</t>
        </is>
      </c>
      <c r="B5" s="5" t="inlineStr">
        <is>
          <t>Haftungsausschluss Boxen</t>
        </is>
      </c>
      <c r="C5" s="6" t="n"/>
      <c r="D5" s="5" t="n"/>
      <c r="E5" s="7" t="n"/>
      <c r="F5" s="7" t="n"/>
      <c r="G5" s="8" t="inlineStr">
        <is>
          <t>Offen</t>
        </is>
      </c>
      <c r="H5" s="9" t="n"/>
      <c r="I5" s="10" t="n"/>
    </row>
    <row r="6">
      <c r="A6" s="4" t="inlineStr">
        <is>
          <t>Orga</t>
        </is>
      </c>
      <c r="B6" s="5" t="inlineStr">
        <is>
          <t>Anlage</t>
        </is>
      </c>
      <c r="C6" s="6" t="n"/>
      <c r="D6" s="5" t="n"/>
      <c r="E6" s="7" t="n"/>
      <c r="F6" s="7" t="n"/>
      <c r="G6" s="8" t="inlineStr">
        <is>
          <t>Offen</t>
        </is>
      </c>
      <c r="H6" s="9" t="n"/>
      <c r="I6" s="10" t="n"/>
    </row>
    <row r="7">
      <c r="A7" s="4" t="inlineStr">
        <is>
          <t>Orga</t>
        </is>
      </c>
      <c r="B7" s="5" t="inlineStr">
        <is>
          <t>Keine Videos (Hinweis/Regel kommunizieren)</t>
        </is>
      </c>
      <c r="C7" s="6" t="n"/>
      <c r="D7" s="5" t="n"/>
      <c r="E7" s="7" t="n"/>
      <c r="F7" s="7" t="n"/>
      <c r="G7" s="8" t="inlineStr">
        <is>
          <t>Offen</t>
        </is>
      </c>
      <c r="H7" s="9" t="n"/>
      <c r="I7" s="10" t="n"/>
    </row>
    <row r="8">
      <c r="A8" s="4" t="inlineStr">
        <is>
          <t>Orga</t>
        </is>
      </c>
      <c r="B8" s="5" t="n"/>
      <c r="C8" s="6" t="n"/>
      <c r="D8" s="5" t="n"/>
      <c r="E8" s="7" t="n"/>
      <c r="F8" s="7" t="n"/>
      <c r="G8" s="8" t="n"/>
      <c r="H8" s="9" t="n"/>
      <c r="I8" s="10" t="n"/>
    </row>
    <row r="9">
      <c r="A9" s="4" t="inlineStr">
        <is>
          <t>Orga</t>
        </is>
      </c>
      <c r="B9" s="5" t="n"/>
      <c r="C9" s="6" t="n"/>
      <c r="D9" s="5" t="n"/>
      <c r="E9" s="7" t="n"/>
      <c r="F9" s="7" t="n"/>
      <c r="G9" s="8" t="n"/>
      <c r="H9" s="9" t="n"/>
      <c r="I9" s="10" t="n"/>
    </row>
    <row r="10">
      <c r="A10" s="11" t="inlineStr">
        <is>
          <t>Deko drinnen</t>
        </is>
      </c>
      <c r="B10" s="12" t="inlineStr">
        <is>
          <t>Funken-Fahne Schwabe</t>
        </is>
      </c>
      <c r="C10" s="13" t="inlineStr">
        <is>
          <t>1</t>
        </is>
      </c>
      <c r="D10" s="12" t="n"/>
      <c r="E10" s="7" t="n"/>
      <c r="F10" s="7" t="n"/>
      <c r="G10" s="8" t="inlineStr">
        <is>
          <t>Offen</t>
        </is>
      </c>
      <c r="H10" s="9" t="n"/>
      <c r="I10" s="10" t="n"/>
    </row>
    <row r="11">
      <c r="A11" s="11" t="inlineStr">
        <is>
          <t>Deko drinnen</t>
        </is>
      </c>
      <c r="B11" s="12" t="inlineStr">
        <is>
          <t>LG-Fahnen</t>
        </is>
      </c>
      <c r="C11" s="13" t="n"/>
      <c r="D11" s="12" t="n"/>
      <c r="E11" s="7" t="n"/>
      <c r="F11" s="7" t="n"/>
      <c r="G11" s="8" t="inlineStr">
        <is>
          <t>Offen</t>
        </is>
      </c>
      <c r="H11" s="9" t="n"/>
      <c r="I11" s="10" t="n"/>
    </row>
    <row r="12">
      <c r="A12" s="11" t="inlineStr">
        <is>
          <t>Deko drinnen</t>
        </is>
      </c>
      <c r="B12" s="12" t="inlineStr">
        <is>
          <t>Spots (alles was UC hat)</t>
        </is>
      </c>
      <c r="C12" s="13" t="n"/>
      <c r="D12" s="12" t="n"/>
      <c r="E12" s="7" t="n"/>
      <c r="F12" s="7" t="n"/>
      <c r="G12" s="8" t="inlineStr">
        <is>
          <t>Offen</t>
        </is>
      </c>
      <c r="H12" s="9" t="n"/>
      <c r="I12" s="10" t="n"/>
    </row>
    <row r="13">
      <c r="A13" s="11" t="inlineStr">
        <is>
          <t>Deko drinnen</t>
        </is>
      </c>
      <c r="B13" s="12" t="inlineStr">
        <is>
          <t>Nebelmaschine</t>
        </is>
      </c>
      <c r="C13" s="13" t="inlineStr">
        <is>
          <t>1</t>
        </is>
      </c>
      <c r="D13" s="12" t="n"/>
      <c r="E13" s="7" t="n"/>
      <c r="F13" s="7" t="n"/>
      <c r="G13" s="8" t="inlineStr">
        <is>
          <t>Offen</t>
        </is>
      </c>
      <c r="H13" s="9" t="n"/>
      <c r="I13" s="10" t="n"/>
    </row>
    <row r="14">
      <c r="A14" s="11" t="inlineStr">
        <is>
          <t>Deko drinnen</t>
        </is>
      </c>
      <c r="B14" s="12" t="inlineStr">
        <is>
          <t>Beamer mit Livestand</t>
        </is>
      </c>
      <c r="C14" s="13" t="inlineStr">
        <is>
          <t>1</t>
        </is>
      </c>
      <c r="D14" s="12" t="inlineStr">
        <is>
          <t>Live-Stand von der Website</t>
        </is>
      </c>
      <c r="E14" s="7" t="n"/>
      <c r="F14" s="7" t="n"/>
      <c r="G14" s="8" t="inlineStr">
        <is>
          <t>Offen</t>
        </is>
      </c>
      <c r="H14" s="9" t="n"/>
      <c r="I14" s="10" t="n"/>
    </row>
    <row r="15">
      <c r="A15" s="11" t="inlineStr">
        <is>
          <t>Deko drinnen</t>
        </is>
      </c>
      <c r="B15" s="12" t="n"/>
      <c r="C15" s="13" t="n"/>
      <c r="D15" s="12" t="n"/>
      <c r="E15" s="7" t="n"/>
      <c r="F15" s="7" t="n"/>
      <c r="G15" s="8" t="n"/>
      <c r="H15" s="9" t="n"/>
      <c r="I15" s="10" t="n"/>
    </row>
    <row r="16">
      <c r="A16" s="11" t="inlineStr">
        <is>
          <t>Deko drinnen</t>
        </is>
      </c>
      <c r="B16" s="12" t="n"/>
      <c r="C16" s="13" t="n"/>
      <c r="D16" s="12" t="n"/>
      <c r="E16" s="7" t="n"/>
      <c r="F16" s="7" t="n"/>
      <c r="G16" s="8" t="n"/>
      <c r="H16" s="9" t="n"/>
      <c r="I16" s="10" t="n"/>
    </row>
    <row r="17">
      <c r="A17" s="4" t="inlineStr">
        <is>
          <t>Boxring</t>
        </is>
      </c>
      <c r="B17" s="5" t="inlineStr">
        <is>
          <t>Paletten</t>
        </is>
      </c>
      <c r="C17" s="6" t="inlineStr">
        <is>
          <t>30</t>
        </is>
      </c>
      <c r="D17" s="5" t="inlineStr">
        <is>
          <t>3×4×2 = 24 (120×3=360 ≈ 4×80=320) + 4 Schwabi → 30 mit Puffer</t>
        </is>
      </c>
      <c r="E17" s="7" t="n"/>
      <c r="F17" s="7" t="n"/>
      <c r="G17" s="8" t="inlineStr">
        <is>
          <t>Offen</t>
        </is>
      </c>
      <c r="H17" s="9" t="n"/>
      <c r="I17" s="10" t="n"/>
    </row>
    <row r="18">
      <c r="A18" s="4" t="inlineStr">
        <is>
          <t>Boxring</t>
        </is>
      </c>
      <c r="B18" s="5" t="inlineStr">
        <is>
          <t>OSB-Platten</t>
        </is>
      </c>
      <c r="C18" s="6" t="inlineStr">
        <is>
          <t>8</t>
        </is>
      </c>
      <c r="D18" s="5" t="n"/>
      <c r="E18" s="7" t="n"/>
      <c r="F18" s="7" t="n"/>
      <c r="G18" s="8" t="inlineStr">
        <is>
          <t>Offen</t>
        </is>
      </c>
      <c r="H18" s="9" t="n"/>
      <c r="I18" s="10" t="n"/>
    </row>
    <row r="19">
      <c r="A19" s="4" t="inlineStr">
        <is>
          <t>Boxring</t>
        </is>
      </c>
      <c r="B19" s="5" t="inlineStr">
        <is>
          <t>Bodenbelag Ring</t>
        </is>
      </c>
      <c r="C19" s="6" t="inlineStr">
        <is>
          <t>11,52 m²</t>
        </is>
      </c>
      <c r="D19" s="5" t="inlineStr">
        <is>
          <t>Sportmatten, Gummimatten oder Teppich?</t>
        </is>
      </c>
      <c r="E19" s="7" t="n"/>
      <c r="F19" s="7" t="n"/>
      <c r="G19" s="8" t="inlineStr">
        <is>
          <t>Offen</t>
        </is>
      </c>
      <c r="H19" s="9" t="n"/>
      <c r="I19" s="10" t="n"/>
    </row>
    <row r="20">
      <c r="A20" s="4" t="inlineStr">
        <is>
          <t>Boxring</t>
        </is>
      </c>
      <c r="B20" s="5" t="inlineStr">
        <is>
          <t>Dachlatten</t>
        </is>
      </c>
      <c r="C20" s="6" t="n"/>
      <c r="D20" s="5" t="n"/>
      <c r="E20" s="7" t="n"/>
      <c r="F20" s="7" t="n"/>
      <c r="G20" s="8" t="inlineStr">
        <is>
          <t>Offen</t>
        </is>
      </c>
      <c r="H20" s="9" t="n"/>
      <c r="I20" s="10" t="n"/>
    </row>
    <row r="21">
      <c r="A21" s="4" t="inlineStr">
        <is>
          <t>Boxring</t>
        </is>
      </c>
      <c r="B21" s="5" t="inlineStr">
        <is>
          <t>Stricke oder Spanngurte</t>
        </is>
      </c>
      <c r="C21" s="6" t="n"/>
      <c r="D21" s="5" t="n"/>
      <c r="E21" s="7" t="n"/>
      <c r="F21" s="7" t="n"/>
      <c r="G21" s="8" t="inlineStr">
        <is>
          <t>Offen</t>
        </is>
      </c>
      <c r="H21" s="9" t="n"/>
      <c r="I21" s="10" t="n"/>
    </row>
    <row r="22">
      <c r="A22" s="4" t="inlineStr">
        <is>
          <t>Boxring</t>
        </is>
      </c>
      <c r="B22" s="5" t="n"/>
      <c r="C22" s="6" t="n"/>
      <c r="D22" s="5" t="n"/>
      <c r="E22" s="7" t="n"/>
      <c r="F22" s="7" t="n"/>
      <c r="G22" s="8" t="n"/>
      <c r="H22" s="9" t="n"/>
      <c r="I22" s="10" t="n"/>
    </row>
    <row r="23">
      <c r="A23" s="4" t="inlineStr">
        <is>
          <t>Boxring</t>
        </is>
      </c>
      <c r="B23" s="5" t="n"/>
      <c r="C23" s="6" t="n"/>
      <c r="D23" s="5" t="n"/>
      <c r="E23" s="7" t="n"/>
      <c r="F23" s="7" t="n"/>
      <c r="G23" s="8" t="n"/>
      <c r="H23" s="9" t="n"/>
      <c r="I23" s="10" t="n"/>
    </row>
    <row r="24">
      <c r="A24" s="11" t="inlineStr">
        <is>
          <t>Bar</t>
        </is>
      </c>
      <c r="B24" s="12" t="inlineStr">
        <is>
          <t>Getränkekarte</t>
        </is>
      </c>
      <c r="C24" s="13" t="n"/>
      <c r="D24" s="12" t="n"/>
      <c r="E24" s="7" t="n"/>
      <c r="F24" s="7" t="n"/>
      <c r="G24" s="8" t="inlineStr">
        <is>
          <t>Offen</t>
        </is>
      </c>
      <c r="H24" s="9" t="n"/>
      <c r="I24" s="10" t="n"/>
    </row>
    <row r="25">
      <c r="A25" s="11" t="inlineStr">
        <is>
          <t>Bar</t>
        </is>
      </c>
      <c r="B25" s="12" t="inlineStr">
        <is>
          <t>Biergarnituren</t>
        </is>
      </c>
      <c r="C25" s="13" t="inlineStr">
        <is>
          <t>2</t>
        </is>
      </c>
      <c r="D25" s="12" t="n"/>
      <c r="E25" s="7" t="n"/>
      <c r="F25" s="7" t="n"/>
      <c r="G25" s="8" t="inlineStr">
        <is>
          <t>Offen</t>
        </is>
      </c>
      <c r="H25" s="9" t="n"/>
      <c r="I25" s="10" t="n"/>
    </row>
    <row r="26">
      <c r="A26" s="11" t="inlineStr">
        <is>
          <t>Bar</t>
        </is>
      </c>
      <c r="B26" s="12" t="inlineStr">
        <is>
          <t>Barleute</t>
        </is>
      </c>
      <c r="C26" s="13" t="inlineStr">
        <is>
          <t>6</t>
        </is>
      </c>
      <c r="D26" s="12" t="n"/>
      <c r="E26" s="7" t="n"/>
      <c r="F26" s="7" t="n"/>
      <c r="G26" s="8" t="inlineStr">
        <is>
          <t>Offen</t>
        </is>
      </c>
      <c r="H26" s="9" t="n"/>
      <c r="I26" s="10" t="n"/>
    </row>
    <row r="27">
      <c r="A27" s="11" t="inlineStr">
        <is>
          <t>Bar</t>
        </is>
      </c>
      <c r="B27" s="12" t="inlineStr">
        <is>
          <t>UCfK-Barverkleidung</t>
        </is>
      </c>
      <c r="C27" s="13" t="n"/>
      <c r="D27" s="12" t="n"/>
      <c r="E27" s="7" t="n"/>
      <c r="F27" s="7" t="n"/>
      <c r="G27" s="8" t="inlineStr">
        <is>
          <t>Offen</t>
        </is>
      </c>
      <c r="H27" s="9" t="n"/>
      <c r="I27" s="10" t="n"/>
    </row>
    <row r="28">
      <c r="A28" s="11" t="inlineStr">
        <is>
          <t>Bar</t>
        </is>
      </c>
      <c r="B28" s="12" t="inlineStr">
        <is>
          <t>MX-Zelt</t>
        </is>
      </c>
      <c r="C28" s="13" t="inlineStr">
        <is>
          <t>1</t>
        </is>
      </c>
      <c r="D28" s="12" t="n"/>
      <c r="E28" s="7" t="n"/>
      <c r="F28" s="7" t="n"/>
      <c r="G28" s="8" t="inlineStr">
        <is>
          <t>Offen</t>
        </is>
      </c>
      <c r="H28" s="9" t="n"/>
      <c r="I28" s="10" t="n"/>
    </row>
    <row r="29">
      <c r="A29" s="11" t="inlineStr">
        <is>
          <t>Bar</t>
        </is>
      </c>
      <c r="B29" s="12" t="inlineStr">
        <is>
          <t>Bier + Kühler</t>
        </is>
      </c>
      <c r="C29" s="13" t="n"/>
      <c r="D29" s="12" t="n"/>
      <c r="E29" s="7" t="n"/>
      <c r="F29" s="7" t="inlineStr">
        <is>
          <t>Jonathan</t>
        </is>
      </c>
      <c r="G29" s="8" t="inlineStr">
        <is>
          <t>Offen</t>
        </is>
      </c>
      <c r="H29" s="9" t="n"/>
      <c r="I29" s="10" t="n"/>
    </row>
    <row r="30">
      <c r="A30" s="11" t="inlineStr">
        <is>
          <t>Bar</t>
        </is>
      </c>
      <c r="B30" s="12" t="inlineStr">
        <is>
          <t>Andere Getränke</t>
        </is>
      </c>
      <c r="C30" s="13" t="n"/>
      <c r="D30" s="12" t="n"/>
      <c r="E30" s="7" t="n"/>
      <c r="F30" s="7" t="inlineStr">
        <is>
          <t>Hansen</t>
        </is>
      </c>
      <c r="G30" s="8" t="inlineStr">
        <is>
          <t>Offen</t>
        </is>
      </c>
      <c r="H30" s="9" t="n"/>
      <c r="I30" s="10" t="n"/>
    </row>
    <row r="31">
      <c r="A31" s="11" t="inlineStr">
        <is>
          <t>Bar</t>
        </is>
      </c>
      <c r="B31" s="12" t="n"/>
      <c r="C31" s="13" t="n"/>
      <c r="D31" s="12" t="n"/>
      <c r="E31" s="7" t="n"/>
      <c r="F31" s="7" t="n"/>
      <c r="G31" s="8" t="n"/>
      <c r="H31" s="9" t="n"/>
      <c r="I31" s="10" t="n"/>
    </row>
    <row r="32">
      <c r="A32" s="11" t="inlineStr">
        <is>
          <t>Bar</t>
        </is>
      </c>
      <c r="B32" s="12" t="n"/>
      <c r="C32" s="13" t="n"/>
      <c r="D32" s="12" t="n"/>
      <c r="E32" s="7" t="n"/>
      <c r="F32" s="7" t="n"/>
      <c r="G32" s="8" t="n"/>
      <c r="H32" s="9" t="n"/>
      <c r="I32" s="10" t="n"/>
    </row>
    <row r="33">
      <c r="A33" s="4" t="inlineStr">
        <is>
          <t>Grillen Schulhof</t>
        </is>
      </c>
      <c r="B33" s="5" t="inlineStr">
        <is>
          <t>Speisekarte</t>
        </is>
      </c>
      <c r="C33" s="6" t="n"/>
      <c r="D33" s="5" t="n"/>
      <c r="E33" s="7" t="n"/>
      <c r="F33" s="7" t="n"/>
      <c r="G33" s="8" t="inlineStr">
        <is>
          <t>Offen</t>
        </is>
      </c>
      <c r="H33" s="9" t="n"/>
      <c r="I33" s="10" t="n"/>
    </row>
    <row r="34">
      <c r="A34" s="4" t="inlineStr">
        <is>
          <t>Grillen Schulhof</t>
        </is>
      </c>
      <c r="B34" s="5" t="inlineStr">
        <is>
          <t>Grill</t>
        </is>
      </c>
      <c r="C34" s="6" t="inlineStr">
        <is>
          <t>1</t>
        </is>
      </c>
      <c r="D34" s="5" t="n"/>
      <c r="E34" s="7" t="n"/>
      <c r="F34" s="7" t="n"/>
      <c r="G34" s="8" t="inlineStr">
        <is>
          <t>Offen</t>
        </is>
      </c>
      <c r="H34" s="9" t="n"/>
      <c r="I34" s="10" t="n"/>
    </row>
    <row r="35">
      <c r="A35" s="4" t="inlineStr">
        <is>
          <t>Grillen Schulhof</t>
        </is>
      </c>
      <c r="B35" s="5" t="inlineStr">
        <is>
          <t>Grillmeister</t>
        </is>
      </c>
      <c r="C35" s="6" t="inlineStr">
        <is>
          <t>3</t>
        </is>
      </c>
      <c r="D35" s="5" t="n"/>
      <c r="E35" s="7" t="n"/>
      <c r="F35" s="7" t="n"/>
      <c r="G35" s="8" t="inlineStr">
        <is>
          <t>Offen</t>
        </is>
      </c>
      <c r="H35" s="9" t="n"/>
      <c r="I35" s="10" t="n"/>
    </row>
    <row r="36">
      <c r="A36" s="4" t="inlineStr">
        <is>
          <t>Grillen Schulhof</t>
        </is>
      </c>
      <c r="B36" s="5" t="inlineStr">
        <is>
          <t>Stehtische</t>
        </is>
      </c>
      <c r="C36" s="6" t="n"/>
      <c r="D36" s="5" t="n"/>
      <c r="E36" s="7" t="n"/>
      <c r="F36" s="7" t="n"/>
      <c r="G36" s="8" t="inlineStr">
        <is>
          <t>Offen</t>
        </is>
      </c>
      <c r="H36" s="9" t="n"/>
      <c r="I36" s="10" t="n"/>
    </row>
    <row r="37">
      <c r="A37" s="4" t="inlineStr">
        <is>
          <t>Grillen Schulhof</t>
        </is>
      </c>
      <c r="B37" s="5" t="inlineStr">
        <is>
          <t>Biergarnituren</t>
        </is>
      </c>
      <c r="C37" s="6" t="inlineStr">
        <is>
          <t>2</t>
        </is>
      </c>
      <c r="D37" s="5" t="n"/>
      <c r="E37" s="7" t="n"/>
      <c r="F37" s="7" t="n"/>
      <c r="G37" s="8" t="inlineStr">
        <is>
          <t>Offen</t>
        </is>
      </c>
      <c r="H37" s="9" t="n"/>
      <c r="I37" s="10" t="n"/>
    </row>
    <row r="38">
      <c r="A38" s="4" t="inlineStr">
        <is>
          <t>Grillen Schulhof</t>
        </is>
      </c>
      <c r="B38" s="5" t="n"/>
      <c r="C38" s="6" t="n"/>
      <c r="D38" s="5" t="n"/>
      <c r="E38" s="7" t="n"/>
      <c r="F38" s="7" t="n"/>
      <c r="G38" s="8" t="n"/>
      <c r="H38" s="9" t="n"/>
      <c r="I38" s="10" t="n"/>
    </row>
    <row r="39">
      <c r="A39" s="4" t="inlineStr">
        <is>
          <t>Grillen Schulhof</t>
        </is>
      </c>
      <c r="B39" s="5" t="n"/>
      <c r="C39" s="6" t="n"/>
      <c r="D39" s="5" t="n"/>
      <c r="E39" s="7" t="n"/>
      <c r="F39" s="7" t="n"/>
      <c r="G39" s="8" t="n"/>
      <c r="H39" s="9" t="n"/>
      <c r="I39" s="10" t="n"/>
    </row>
    <row r="40">
      <c r="A40" s="11" t="inlineStr">
        <is>
          <t>Außenbereich / Eingang</t>
        </is>
      </c>
      <c r="B40" s="12" t="inlineStr">
        <is>
          <t>MX-Zelt Eingang</t>
        </is>
      </c>
      <c r="C40" s="13" t="inlineStr">
        <is>
          <t>1</t>
        </is>
      </c>
      <c r="D40" s="12" t="n"/>
      <c r="E40" s="7" t="n"/>
      <c r="F40" s="7" t="n"/>
      <c r="G40" s="8" t="inlineStr">
        <is>
          <t>Offen</t>
        </is>
      </c>
      <c r="H40" s="9" t="n"/>
      <c r="I40" s="10" t="n"/>
    </row>
    <row r="41">
      <c r="A41" s="11" t="inlineStr">
        <is>
          <t>Außenbereich / Eingang</t>
        </is>
      </c>
      <c r="B41" s="12" t="inlineStr">
        <is>
          <t>Roter Teppich</t>
        </is>
      </c>
      <c r="C41" s="13" t="inlineStr">
        <is>
          <t>1</t>
        </is>
      </c>
      <c r="D41" s="12" t="inlineStr">
        <is>
          <t>aus dem Lager</t>
        </is>
      </c>
      <c r="E41" s="7" t="n"/>
      <c r="F41" s="7" t="n"/>
      <c r="G41" s="8" t="inlineStr">
        <is>
          <t>Offen</t>
        </is>
      </c>
      <c r="H41" s="9" t="n"/>
      <c r="I41" s="10" t="n"/>
    </row>
    <row r="42">
      <c r="A42" s="11" t="inlineStr">
        <is>
          <t>Außenbereich / Eingang</t>
        </is>
      </c>
      <c r="B42" s="12" t="inlineStr">
        <is>
          <t>Feuerschalen</t>
        </is>
      </c>
      <c r="C42" s="13" t="inlineStr">
        <is>
          <t>2</t>
        </is>
      </c>
      <c r="D42" s="12" t="n"/>
      <c r="E42" s="7" t="n"/>
      <c r="F42" s="7" t="n"/>
      <c r="G42" s="8" t="inlineStr">
        <is>
          <t>Offen</t>
        </is>
      </c>
      <c r="H42" s="9" t="n"/>
      <c r="I42" s="10" t="n"/>
    </row>
    <row r="43">
      <c r="A43" s="11" t="inlineStr">
        <is>
          <t>Außenbereich / Eingang</t>
        </is>
      </c>
      <c r="B43" s="12" t="inlineStr">
        <is>
          <t>Einlass (Kulowbres)</t>
        </is>
      </c>
      <c r="C43" s="13" t="n"/>
      <c r="D43" s="12" t="n"/>
      <c r="E43" s="7" t="n"/>
      <c r="F43" s="7" t="n"/>
      <c r="G43" s="8" t="inlineStr">
        <is>
          <t>Offen</t>
        </is>
      </c>
      <c r="H43" s="9" t="n"/>
      <c r="I43" s="10" t="n"/>
    </row>
    <row r="44">
      <c r="A44" s="11" t="inlineStr">
        <is>
          <t>Außenbereich / Eingang</t>
        </is>
      </c>
      <c r="B44" s="12" t="inlineStr">
        <is>
          <t>Stempel</t>
        </is>
      </c>
      <c r="C44" s="13" t="n"/>
      <c r="D44" s="12" t="n"/>
      <c r="E44" s="7" t="n"/>
      <c r="F44" s="7" t="n"/>
      <c r="G44" s="8" t="inlineStr">
        <is>
          <t>Offen</t>
        </is>
      </c>
      <c r="H44" s="9" t="n"/>
      <c r="I44" s="10" t="n"/>
    </row>
    <row r="45">
      <c r="A45" s="11" t="inlineStr">
        <is>
          <t>Außenbereich / Eingang</t>
        </is>
      </c>
      <c r="B45" s="12" t="inlineStr">
        <is>
          <t>Gardefahnen</t>
        </is>
      </c>
      <c r="C45" s="13" t="n"/>
      <c r="D45" s="12" t="n"/>
      <c r="E45" s="7" t="n"/>
      <c r="F45" s="7" t="n"/>
      <c r="G45" s="8" t="inlineStr">
        <is>
          <t>Offen</t>
        </is>
      </c>
      <c r="H45" s="9" t="n"/>
      <c r="I45" s="10" t="n"/>
    </row>
    <row r="46">
      <c r="A46" s="11" t="inlineStr">
        <is>
          <t>Außenbereich / Eingang</t>
        </is>
      </c>
      <c r="B46" s="12" t="inlineStr">
        <is>
          <t>Runde Spots + Kabel</t>
        </is>
      </c>
      <c r="C46" s="13" t="inlineStr">
        <is>
          <t>6</t>
        </is>
      </c>
      <c r="D46" s="12" t="n"/>
      <c r="E46" s="7" t="n"/>
      <c r="F46" s="7" t="n"/>
      <c r="G46" s="8" t="inlineStr">
        <is>
          <t>Offen</t>
        </is>
      </c>
      <c r="H46" s="9" t="n"/>
      <c r="I46" s="10" t="n"/>
    </row>
    <row r="47">
      <c r="A47" s="11" t="inlineStr">
        <is>
          <t>Außenbereich / Eingang</t>
        </is>
      </c>
      <c r="B47" s="12" t="n"/>
      <c r="C47" s="13" t="n"/>
      <c r="D47" s="12" t="n"/>
      <c r="E47" s="7" t="n"/>
      <c r="F47" s="7" t="n"/>
      <c r="G47" s="8" t="n"/>
      <c r="H47" s="9" t="n"/>
      <c r="I47" s="10" t="n"/>
    </row>
    <row r="48">
      <c r="A48" s="11" t="inlineStr">
        <is>
          <t>Außenbereich / Eingang</t>
        </is>
      </c>
      <c r="B48" s="12" t="n"/>
      <c r="C48" s="13" t="n"/>
      <c r="D48" s="12" t="n"/>
      <c r="E48" s="7" t="n"/>
      <c r="F48" s="7" t="n"/>
      <c r="G48" s="8" t="n"/>
      <c r="H48" s="9" t="n"/>
      <c r="I48" s="10" t="n"/>
    </row>
    <row r="49">
      <c r="A49" s="4" t="inlineStr">
        <is>
          <t>Material</t>
        </is>
      </c>
      <c r="B49" s="5" t="n"/>
      <c r="C49" s="6" t="n"/>
      <c r="D49" s="5" t="n"/>
      <c r="E49" s="7" t="n"/>
      <c r="F49" s="7" t="n"/>
      <c r="G49" s="8" t="n"/>
      <c r="H49" s="9" t="n"/>
      <c r="I49" s="10" t="n"/>
    </row>
    <row r="50">
      <c r="A50" s="4" t="inlineStr">
        <is>
          <t>Material</t>
        </is>
      </c>
      <c r="B50" s="5" t="n"/>
      <c r="C50" s="6" t="n"/>
      <c r="D50" s="5" t="n"/>
      <c r="E50" s="7" t="n"/>
      <c r="F50" s="7" t="n"/>
      <c r="G50" s="8" t="n"/>
      <c r="H50" s="9" t="n"/>
      <c r="I50" s="10" t="n"/>
    </row>
    <row r="51">
      <c r="A51" s="11" t="inlineStr">
        <is>
          <t>Technik</t>
        </is>
      </c>
      <c r="B51" s="12" t="inlineStr">
        <is>
          <t>Große Anlage</t>
        </is>
      </c>
      <c r="C51" s="13" t="inlineStr">
        <is>
          <t>1</t>
        </is>
      </c>
      <c r="D51" s="12" t="n"/>
      <c r="E51" s="7" t="n"/>
      <c r="F51" s="7" t="n"/>
      <c r="G51" s="8" t="inlineStr">
        <is>
          <t>Offen</t>
        </is>
      </c>
      <c r="H51" s="9" t="n"/>
      <c r="I51" s="10" t="n"/>
    </row>
    <row r="52">
      <c r="A52" s="11" t="inlineStr">
        <is>
          <t>Technik</t>
        </is>
      </c>
      <c r="B52" s="12" t="inlineStr">
        <is>
          <t>Tickets</t>
        </is>
      </c>
      <c r="C52" s="13" t="n"/>
      <c r="D52" s="12" t="n"/>
      <c r="E52" s="7" t="n"/>
      <c r="F52" s="7" t="n"/>
      <c r="G52" s="8" t="inlineStr">
        <is>
          <t>Offen</t>
        </is>
      </c>
      <c r="H52" s="9" t="n"/>
      <c r="I52" s="10" t="n"/>
    </row>
    <row r="53">
      <c r="A53" s="11" t="inlineStr">
        <is>
          <t>Technik</t>
        </is>
      </c>
      <c r="B53" s="12" t="n"/>
      <c r="C53" s="13" t="n"/>
      <c r="D53" s="12" t="n"/>
      <c r="E53" s="7" t="n"/>
      <c r="F53" s="7" t="n"/>
      <c r="G53" s="8" t="n"/>
      <c r="H53" s="9" t="n"/>
      <c r="I53" s="10" t="n"/>
    </row>
    <row r="54">
      <c r="A54" s="11" t="inlineStr">
        <is>
          <t>Technik</t>
        </is>
      </c>
      <c r="B54" s="12" t="n"/>
      <c r="C54" s="13" t="n"/>
      <c r="D54" s="12" t="n"/>
      <c r="E54" s="7" t="n"/>
      <c r="F54" s="7" t="n"/>
      <c r="G54" s="8" t="n"/>
      <c r="H54" s="9" t="n"/>
      <c r="I54" s="10" t="n"/>
    </row>
  </sheetData>
  <autoFilter ref="A4:I54"/>
  <conditionalFormatting sqref="A5:I54">
    <cfRule type="expression" priority="1" dxfId="0">
      <formula>$G5="Erledigt"</formula>
    </cfRule>
    <cfRule type="expression" priority="2" dxfId="1">
      <formula>$G5="In Arbeit"</formula>
    </cfRule>
    <cfRule type="expression" priority="3" dxfId="2">
      <formula>$G5="Entfällt"</formula>
    </cfRule>
  </conditionalFormatting>
  <dataValidations count="1">
    <dataValidation sqref="G5:G154" showDropDown="0" showInputMessage="0" showErrorMessage="0" allowBlank="1" type="list">
      <formula1>"Offen,In Arbeit,Erledigt,Entfällt"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1" customWidth="1" min="4" max="4"/>
    <col width="10" customWidth="1" min="5" max="5"/>
    <col width="22" customWidth="1" min="6" max="6"/>
    <col width="12" customWidth="1" min="7" max="7"/>
  </cols>
  <sheetData>
    <row r="1">
      <c r="A1" s="1" t="inlineStr">
        <is>
          <t>Übersicht nach Bereich</t>
        </is>
      </c>
    </row>
    <row r="3">
      <c r="A3" s="14" t="inlineStr">
        <is>
          <t>Bereich</t>
        </is>
      </c>
      <c r="B3" s="14" t="inlineStr">
        <is>
          <t>Aufgaben</t>
        </is>
      </c>
      <c r="C3" s="14" t="inlineStr">
        <is>
          <t>Offen</t>
        </is>
      </c>
      <c r="D3" s="14" t="inlineStr">
        <is>
          <t>In Arbeit</t>
        </is>
      </c>
      <c r="E3" s="14" t="inlineStr">
        <is>
          <t>Erledigt</t>
        </is>
      </c>
      <c r="F3" s="14" t="inlineStr">
        <is>
          <t>Ohne Verantwortlichen</t>
        </is>
      </c>
      <c r="G3" s="14" t="inlineStr">
        <is>
          <t>Fortschritt</t>
        </is>
      </c>
    </row>
    <row r="4">
      <c r="A4" s="15" t="inlineStr">
        <is>
          <t>Orga</t>
        </is>
      </c>
      <c r="B4" s="16">
        <f>COUNTIFS(Aufgaben!$A$5:$A$54,A4,Aufgaben!$B$5:$B$54,"&lt;&gt;")</f>
        <v/>
      </c>
      <c r="C4" s="16">
        <f>COUNTIFS(Aufgaben!$A$5:$A$54,A4,Aufgaben!$G$5:$G$54,"Offen")</f>
        <v/>
      </c>
      <c r="D4" s="16">
        <f>COUNTIFS(Aufgaben!$A$5:$A$54,A4,Aufgaben!$G$5:$G$54,"In Arbeit")</f>
        <v/>
      </c>
      <c r="E4" s="16">
        <f>COUNTIFS(Aufgaben!$A$5:$A$54,A4,Aufgaben!$G$5:$G$54,"Erledigt")</f>
        <v/>
      </c>
      <c r="F4" s="16">
        <f>COUNTIFS(Aufgaben!$A$5:$A$54,A4,Aufgaben!$B$5:$B$54,"&lt;&gt;",Aufgaben!$F$5:$F$54,"")</f>
        <v/>
      </c>
      <c r="G4" s="17">
        <f>IFERROR(E4/(B4-COUNTIFS(Aufgaben!$A$5:$A$54,A4,Aufgaben!$G$5:$G$54,"Entfällt")),0)</f>
        <v/>
      </c>
    </row>
    <row r="5">
      <c r="A5" s="15" t="inlineStr">
        <is>
          <t>Deko drinnen</t>
        </is>
      </c>
      <c r="B5" s="16">
        <f>COUNTIFS(Aufgaben!$A$5:$A$54,A5,Aufgaben!$B$5:$B$54,"&lt;&gt;")</f>
        <v/>
      </c>
      <c r="C5" s="16">
        <f>COUNTIFS(Aufgaben!$A$5:$A$54,A5,Aufgaben!$G$5:$G$54,"Offen")</f>
        <v/>
      </c>
      <c r="D5" s="16">
        <f>COUNTIFS(Aufgaben!$A$5:$A$54,A5,Aufgaben!$G$5:$G$54,"In Arbeit")</f>
        <v/>
      </c>
      <c r="E5" s="16">
        <f>COUNTIFS(Aufgaben!$A$5:$A$54,A5,Aufgaben!$G$5:$G$54,"Erledigt")</f>
        <v/>
      </c>
      <c r="F5" s="16">
        <f>COUNTIFS(Aufgaben!$A$5:$A$54,A5,Aufgaben!$B$5:$B$54,"&lt;&gt;",Aufgaben!$F$5:$F$54,"")</f>
        <v/>
      </c>
      <c r="G5" s="17">
        <f>IFERROR(E5/(B5-COUNTIFS(Aufgaben!$A$5:$A$54,A5,Aufgaben!$G$5:$G$54,"Entfällt")),0)</f>
        <v/>
      </c>
    </row>
    <row r="6">
      <c r="A6" s="15" t="inlineStr">
        <is>
          <t>Boxring</t>
        </is>
      </c>
      <c r="B6" s="16">
        <f>COUNTIFS(Aufgaben!$A$5:$A$54,A6,Aufgaben!$B$5:$B$54,"&lt;&gt;")</f>
        <v/>
      </c>
      <c r="C6" s="16">
        <f>COUNTIFS(Aufgaben!$A$5:$A$54,A6,Aufgaben!$G$5:$G$54,"Offen")</f>
        <v/>
      </c>
      <c r="D6" s="16">
        <f>COUNTIFS(Aufgaben!$A$5:$A$54,A6,Aufgaben!$G$5:$G$54,"In Arbeit")</f>
        <v/>
      </c>
      <c r="E6" s="16">
        <f>COUNTIFS(Aufgaben!$A$5:$A$54,A6,Aufgaben!$G$5:$G$54,"Erledigt")</f>
        <v/>
      </c>
      <c r="F6" s="16">
        <f>COUNTIFS(Aufgaben!$A$5:$A$54,A6,Aufgaben!$B$5:$B$54,"&lt;&gt;",Aufgaben!$F$5:$F$54,"")</f>
        <v/>
      </c>
      <c r="G6" s="17">
        <f>IFERROR(E6/(B6-COUNTIFS(Aufgaben!$A$5:$A$54,A6,Aufgaben!$G$5:$G$54,"Entfällt")),0)</f>
        <v/>
      </c>
    </row>
    <row r="7">
      <c r="A7" s="15" t="inlineStr">
        <is>
          <t>Bar</t>
        </is>
      </c>
      <c r="B7" s="16">
        <f>COUNTIFS(Aufgaben!$A$5:$A$54,A7,Aufgaben!$B$5:$B$54,"&lt;&gt;")</f>
        <v/>
      </c>
      <c r="C7" s="16">
        <f>COUNTIFS(Aufgaben!$A$5:$A$54,A7,Aufgaben!$G$5:$G$54,"Offen")</f>
        <v/>
      </c>
      <c r="D7" s="16">
        <f>COUNTIFS(Aufgaben!$A$5:$A$54,A7,Aufgaben!$G$5:$G$54,"In Arbeit")</f>
        <v/>
      </c>
      <c r="E7" s="16">
        <f>COUNTIFS(Aufgaben!$A$5:$A$54,A7,Aufgaben!$G$5:$G$54,"Erledigt")</f>
        <v/>
      </c>
      <c r="F7" s="16">
        <f>COUNTIFS(Aufgaben!$A$5:$A$54,A7,Aufgaben!$B$5:$B$54,"&lt;&gt;",Aufgaben!$F$5:$F$54,"")</f>
        <v/>
      </c>
      <c r="G7" s="17">
        <f>IFERROR(E7/(B7-COUNTIFS(Aufgaben!$A$5:$A$54,A7,Aufgaben!$G$5:$G$54,"Entfällt")),0)</f>
        <v/>
      </c>
    </row>
    <row r="8">
      <c r="A8" s="15" t="inlineStr">
        <is>
          <t>Grillen Schulhof</t>
        </is>
      </c>
      <c r="B8" s="16">
        <f>COUNTIFS(Aufgaben!$A$5:$A$54,A8,Aufgaben!$B$5:$B$54,"&lt;&gt;")</f>
        <v/>
      </c>
      <c r="C8" s="16">
        <f>COUNTIFS(Aufgaben!$A$5:$A$54,A8,Aufgaben!$G$5:$G$54,"Offen")</f>
        <v/>
      </c>
      <c r="D8" s="16">
        <f>COUNTIFS(Aufgaben!$A$5:$A$54,A8,Aufgaben!$G$5:$G$54,"In Arbeit")</f>
        <v/>
      </c>
      <c r="E8" s="16">
        <f>COUNTIFS(Aufgaben!$A$5:$A$54,A8,Aufgaben!$G$5:$G$54,"Erledigt")</f>
        <v/>
      </c>
      <c r="F8" s="16">
        <f>COUNTIFS(Aufgaben!$A$5:$A$54,A8,Aufgaben!$B$5:$B$54,"&lt;&gt;",Aufgaben!$F$5:$F$54,"")</f>
        <v/>
      </c>
      <c r="G8" s="17">
        <f>IFERROR(E8/(B8-COUNTIFS(Aufgaben!$A$5:$A$54,A8,Aufgaben!$G$5:$G$54,"Entfällt")),0)</f>
        <v/>
      </c>
    </row>
    <row r="9">
      <c r="A9" s="15" t="inlineStr">
        <is>
          <t>Außenbereich / Eingang</t>
        </is>
      </c>
      <c r="B9" s="16">
        <f>COUNTIFS(Aufgaben!$A$5:$A$54,A9,Aufgaben!$B$5:$B$54,"&lt;&gt;")</f>
        <v/>
      </c>
      <c r="C9" s="16">
        <f>COUNTIFS(Aufgaben!$A$5:$A$54,A9,Aufgaben!$G$5:$G$54,"Offen")</f>
        <v/>
      </c>
      <c r="D9" s="16">
        <f>COUNTIFS(Aufgaben!$A$5:$A$54,A9,Aufgaben!$G$5:$G$54,"In Arbeit")</f>
        <v/>
      </c>
      <c r="E9" s="16">
        <f>COUNTIFS(Aufgaben!$A$5:$A$54,A9,Aufgaben!$G$5:$G$54,"Erledigt")</f>
        <v/>
      </c>
      <c r="F9" s="16">
        <f>COUNTIFS(Aufgaben!$A$5:$A$54,A9,Aufgaben!$B$5:$B$54,"&lt;&gt;",Aufgaben!$F$5:$F$54,"")</f>
        <v/>
      </c>
      <c r="G9" s="17">
        <f>IFERROR(E9/(B9-COUNTIFS(Aufgaben!$A$5:$A$54,A9,Aufgaben!$G$5:$G$54,"Entfällt")),0)</f>
        <v/>
      </c>
    </row>
    <row r="10">
      <c r="A10" s="15" t="inlineStr">
        <is>
          <t>Material</t>
        </is>
      </c>
      <c r="B10" s="16">
        <f>COUNTIFS(Aufgaben!$A$5:$A$54,A10,Aufgaben!$B$5:$B$54,"&lt;&gt;")</f>
        <v/>
      </c>
      <c r="C10" s="16">
        <f>COUNTIFS(Aufgaben!$A$5:$A$54,A10,Aufgaben!$G$5:$G$54,"Offen")</f>
        <v/>
      </c>
      <c r="D10" s="16">
        <f>COUNTIFS(Aufgaben!$A$5:$A$54,A10,Aufgaben!$G$5:$G$54,"In Arbeit")</f>
        <v/>
      </c>
      <c r="E10" s="16">
        <f>COUNTIFS(Aufgaben!$A$5:$A$54,A10,Aufgaben!$G$5:$G$54,"Erledigt")</f>
        <v/>
      </c>
      <c r="F10" s="16">
        <f>COUNTIFS(Aufgaben!$A$5:$A$54,A10,Aufgaben!$B$5:$B$54,"&lt;&gt;",Aufgaben!$F$5:$F$54,"")</f>
        <v/>
      </c>
      <c r="G10" s="17">
        <f>IFERROR(E10/(B10-COUNTIFS(Aufgaben!$A$5:$A$54,A10,Aufgaben!$G$5:$G$54,"Entfällt")),0)</f>
        <v/>
      </c>
    </row>
    <row r="11">
      <c r="A11" s="15" t="inlineStr">
        <is>
          <t>Technik</t>
        </is>
      </c>
      <c r="B11" s="16">
        <f>COUNTIFS(Aufgaben!$A$5:$A$54,A11,Aufgaben!$B$5:$B$54,"&lt;&gt;")</f>
        <v/>
      </c>
      <c r="C11" s="16">
        <f>COUNTIFS(Aufgaben!$A$5:$A$54,A11,Aufgaben!$G$5:$G$54,"Offen")</f>
        <v/>
      </c>
      <c r="D11" s="16">
        <f>COUNTIFS(Aufgaben!$A$5:$A$54,A11,Aufgaben!$G$5:$G$54,"In Arbeit")</f>
        <v/>
      </c>
      <c r="E11" s="16">
        <f>COUNTIFS(Aufgaben!$A$5:$A$54,A11,Aufgaben!$G$5:$G$54,"Erledigt")</f>
        <v/>
      </c>
      <c r="F11" s="16">
        <f>COUNTIFS(Aufgaben!$A$5:$A$54,A11,Aufgaben!$B$5:$B$54,"&lt;&gt;",Aufgaben!$F$5:$F$54,"")</f>
        <v/>
      </c>
      <c r="G11" s="17">
        <f>IFERROR(E11/(B11-COUNTIFS(Aufgaben!$A$5:$A$54,A11,Aufgaben!$G$5:$G$54,"Entfällt")),0)</f>
        <v/>
      </c>
    </row>
    <row r="12">
      <c r="A12" s="18" t="inlineStr">
        <is>
          <t>Gesamt</t>
        </is>
      </c>
      <c r="B12" s="19">
        <f>SUM(B4:B11)</f>
        <v/>
      </c>
      <c r="C12" s="19">
        <f>SUM(C4:C11)</f>
        <v/>
      </c>
      <c r="D12" s="19">
        <f>SUM(D4:D11)</f>
        <v/>
      </c>
      <c r="E12" s="19">
        <f>SUM(E4:E11)</f>
        <v/>
      </c>
      <c r="F12" s="19">
        <f>SUM(F4:F11)</f>
        <v/>
      </c>
      <c r="G12" s="20">
        <f>IFERROR(E12/(B12-COUNTIF(Aufgaben!$G$5:$G$54,"Entfällt")),0)</f>
        <v/>
      </c>
    </row>
    <row r="14">
      <c r="A14" s="2" t="inlineStr">
        <is>
          <t>Wird automatisch aus dem Blatt „Aufgaben“ berechnet.</t>
        </is>
      </c>
    </row>
  </sheetData>
  <conditionalFormatting sqref="G4:G12">
    <cfRule type="dataBar" priority="1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2026-10-02T20:08:37Z</dcterms:created>
  <dcterms:modified xsi:type="dcterms:W3CDTF">2026-10-02T20:08:38Z</dcterms:modified>
</cp:coreProperties>
</file>